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4e91fcecc81669/Desktop/Nirmaan/AI Project/"/>
    </mc:Choice>
  </mc:AlternateContent>
  <xr:revisionPtr revIDLastSave="52" documentId="13_ncr:1_{B111DCF4-EB3A-4EEF-9AA7-D30D9C68CCB0}" xr6:coauthVersionLast="47" xr6:coauthVersionMax="47" xr10:uidLastSave="{A9568D8B-9F23-40EE-A369-2D2851C5CE6B}"/>
  <bookViews>
    <workbookView xWindow="-110" yWindow="-110" windowWidth="19420" windowHeight="10300" xr2:uid="{03700B8C-A5B7-4F6F-B2E0-2912E3186859}"/>
  </bookViews>
  <sheets>
    <sheet name="Rub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D10" i="1"/>
  <c r="G60" i="1"/>
  <c r="H32" i="1"/>
  <c r="H60" i="1" s="1"/>
  <c r="E21" i="1"/>
  <c r="E19" i="1"/>
  <c r="E18" i="1"/>
  <c r="E15" i="1"/>
  <c r="D9" i="1" l="1"/>
</calcChain>
</file>

<file path=xl/sharedStrings.xml><?xml version="1.0" encoding="utf-8"?>
<sst xmlns="http://schemas.openxmlformats.org/spreadsheetml/2006/main" count="94" uniqueCount="82">
  <si>
    <t>Sample Case study Rubrics test- 1</t>
  </si>
  <si>
    <t xml:space="preserve">Topic </t>
  </si>
  <si>
    <t xml:space="preserve">Self introduction </t>
  </si>
  <si>
    <t xml:space="preserve">Creteria </t>
  </si>
  <si>
    <t>Metric</t>
  </si>
  <si>
    <t xml:space="preserve">Weightage </t>
  </si>
  <si>
    <t>Content &amp; Structure</t>
  </si>
  <si>
    <t>Salutation Level</t>
  </si>
  <si>
    <t>Key word Presence (Does this include name, age, class, school, family, hobbies/interests, goals, and unique point)</t>
  </si>
  <si>
    <t>Flow (Is the introduction following the order, Salutation --&gt; Name --&gt; Mandatory details --&gt; Optional Details --&gt; Closing</t>
  </si>
  <si>
    <t xml:space="preserve">Clarity </t>
  </si>
  <si>
    <t xml:space="preserve">Filler Word Rate </t>
  </si>
  <si>
    <t>Speech rate(words/minute)</t>
  </si>
  <si>
    <t>Engagement</t>
  </si>
  <si>
    <t>Grammar errors count using Language Tool</t>
  </si>
  <si>
    <t xml:space="preserve">Vocabulary richness (MTLD/TTR) </t>
  </si>
  <si>
    <t>Language &amp; Grammar</t>
  </si>
  <si>
    <t>Sentiment/positivity (Transcript-based emotion model)</t>
  </si>
  <si>
    <t xml:space="preserve">Overall Rubrics </t>
  </si>
  <si>
    <t xml:space="preserve">Scoring creteria </t>
  </si>
  <si>
    <t xml:space="preserve">Key Words </t>
  </si>
  <si>
    <t>-</t>
  </si>
  <si>
    <t xml:space="preserve">Hi, Hello </t>
  </si>
  <si>
    <t xml:space="preserve">Excellent </t>
  </si>
  <si>
    <t xml:space="preserve">Good </t>
  </si>
  <si>
    <t xml:space="preserve">Normal </t>
  </si>
  <si>
    <t xml:space="preserve">Sample data score </t>
  </si>
  <si>
    <t xml:space="preserve">Total score </t>
  </si>
  <si>
    <t xml:space="preserve">Must Have (each has score of 4) </t>
  </si>
  <si>
    <t xml:space="preserve">Good to have  (each has score of 2) </t>
  </si>
  <si>
    <t xml:space="preserve">Name, 
Age
School/Class, 
Family, 
Hobies/Interest/ what they like to do in Free time. </t>
  </si>
  <si>
    <t>About Family, 
Origin Location ( "I am from/ Parents are from")
Ambition/Goal/Dream
Interesting thing/ fun fact/something unique about them
Strengths or Achivements</t>
  </si>
  <si>
    <t xml:space="preserve">Order followed </t>
  </si>
  <si>
    <t xml:space="preserve">Order Not followed </t>
  </si>
  <si>
    <t>Word Count</t>
  </si>
  <si>
    <t>Sentence Count</t>
  </si>
  <si>
    <t>Duraction in Sec</t>
  </si>
  <si>
    <t xml:space="preserve">Ideal </t>
  </si>
  <si>
    <t xml:space="preserve">Fast </t>
  </si>
  <si>
    <t xml:space="preserve">Too Fast </t>
  </si>
  <si>
    <t xml:space="preserve">Too slow </t>
  </si>
  <si>
    <t xml:space="preserve"> 141 -160 WPM</t>
  </si>
  <si>
    <t>Slow</t>
  </si>
  <si>
    <t xml:space="preserve"> 111 -140 WPM</t>
  </si>
  <si>
    <t>81 -110 WPM</t>
  </si>
  <si>
    <t>&lt; 80 WPM</t>
  </si>
  <si>
    <t>&gt;161 WPM</t>
  </si>
  <si>
    <t>Grammer Score =1−min(errors per 100 words​/10,1)</t>
  </si>
  <si>
    <t>&gt;0.9</t>
  </si>
  <si>
    <t>0.7 to 0.89</t>
  </si>
  <si>
    <t>0.5 to 0.69</t>
  </si>
  <si>
    <t>0.3 to 0.49</t>
  </si>
  <si>
    <t>&lt;0.3</t>
  </si>
  <si>
    <t>0.9–1.0</t>
  </si>
  <si>
    <r>
      <t xml:space="preserve">Currently TTR is used 
</t>
    </r>
    <r>
      <rPr>
        <b/>
        <sz val="11"/>
        <color theme="1"/>
        <rFont val="Aptos Narrow"/>
        <family val="2"/>
        <scheme val="minor"/>
      </rPr>
      <t>TTR =Distinct words ÷ total words</t>
    </r>
  </si>
  <si>
    <t>0.7–0.89</t>
  </si>
  <si>
    <t>0.5–0.69</t>
  </si>
  <si>
    <t>0.3–0.49</t>
  </si>
  <si>
    <t>0–0.29</t>
  </si>
  <si>
    <t>Filler Word Rate = (Number of filler words ÷ Total words) × 100</t>
  </si>
  <si>
    <t>0 to 3</t>
  </si>
  <si>
    <t>4 to 6</t>
  </si>
  <si>
    <t>7 to 9</t>
  </si>
  <si>
    <t>10 to 12</t>
  </si>
  <si>
    <t xml:space="preserve">13  and above </t>
  </si>
  <si>
    <r>
      <rPr>
        <u/>
        <sz val="11"/>
        <color theme="1"/>
        <rFont val="Aptos Narrow"/>
        <family val="2"/>
        <scheme val="minor"/>
      </rPr>
      <t xml:space="preserve">Order : 
</t>
    </r>
    <r>
      <rPr>
        <sz val="11"/>
        <color theme="1"/>
        <rFont val="Aptos Narrow"/>
        <family val="2"/>
        <scheme val="minor"/>
      </rPr>
      <t xml:space="preserve">&gt;&gt;Salutation 
&gt;&gt; Basic details ( Name, Age, Class/school, Place) 
&gt;&gt;Additional Details ( all good to have) 
&gt;&gt;Closing </t>
    </r>
  </si>
  <si>
    <t>&gt;=0.9</t>
  </si>
  <si>
    <t xml:space="preserve">Score Attributed </t>
  </si>
  <si>
    <t>Good Morning, Good Afternoon, Good Evening, Good Day, Hello everyone</t>
  </si>
  <si>
    <t xml:space="preserve">Currently, we calculate the probability (0 to 1) of positive words only
using VADER </t>
  </si>
  <si>
    <r>
      <rPr>
        <b/>
        <sz val="11"/>
        <color theme="7" tint="-0.499984740745262"/>
        <rFont val="Aptos Narrow"/>
        <family val="2"/>
        <scheme val="minor"/>
      </rPr>
      <t xml:space="preserve">Text to be Analysed </t>
    </r>
    <r>
      <rPr>
        <sz val="11"/>
        <color theme="1"/>
        <rFont val="Aptos Narrow"/>
        <family val="2"/>
        <scheme val="minor"/>
      </rPr>
      <t xml:space="preserve">
</t>
    </r>
  </si>
  <si>
    <t>Hello everyone, myself Muskan, studying in class 8th B section from Christ Public School. 
I am 13 years old. I live with my family. There are 3 people in my family, me, my mother and my father.
One special thing about my family is that they are very kind hearted to everyone and soft spoken. One thing I really enjoy is play, playing cricket and taking wickets.
A fun fact about me is that I see in mirror and talk by myself. One thing people don't know about me is that I once stole a toy from one of my cousin.
 My favorite subject is science because it is very interesting. Through science I can explore the whole world and make the discoveries and improve the lives of others. 
Thank you for listening.</t>
  </si>
  <si>
    <t>No Salulation</t>
  </si>
  <si>
    <t>If it includes: " I am excited to introduce/ Feeling great"</t>
  </si>
  <si>
    <t>Salutation Level ( based the type of saluation provided give the Score)</t>
  </si>
  <si>
    <t xml:space="preserve">Key word Presence 
(Does the text include name, age, class, school, family, hobbies/interests, goals, and unique point) and give point accordingly </t>
  </si>
  <si>
    <t>Speech rate(words/minute) or WPM</t>
  </si>
  <si>
    <r>
      <rPr>
        <b/>
        <sz val="11"/>
        <color theme="1"/>
        <rFont val="Aptos Narrow"/>
        <family val="2"/>
        <scheme val="minor"/>
      </rPr>
      <t>Grammar errors count using Language Tool</t>
    </r>
    <r>
      <rPr>
        <sz val="11"/>
        <color theme="1"/>
        <rFont val="Aptos Narrow"/>
        <family val="2"/>
        <scheme val="minor"/>
      </rPr>
      <t xml:space="preserve">
Use Python Language tool can be used to identify the errors </t>
    </r>
  </si>
  <si>
    <r>
      <rPr>
        <b/>
        <sz val="11"/>
        <color theme="1"/>
        <rFont val="Aptos Narrow"/>
        <family val="2"/>
        <scheme val="minor"/>
      </rPr>
      <t xml:space="preserve">Vocabulary richness </t>
    </r>
    <r>
      <rPr>
        <sz val="11"/>
        <color theme="1"/>
        <rFont val="Aptos Narrow"/>
        <family val="2"/>
        <scheme val="minor"/>
      </rPr>
      <t xml:space="preserve">
Option 1 : TTR ( Type token error 0, easy and simple)
Option 2 : MTLD using python Libraries  (Measure of Textual Lexical Diversity)
Any option is preferable. </t>
    </r>
  </si>
  <si>
    <r>
      <t xml:space="preserve">Sentiment/positivity (Transcript-based emotion model)
</t>
    </r>
    <r>
      <rPr>
        <b/>
        <sz val="11"/>
        <color theme="1"/>
        <rFont val="Aptos Narrow"/>
        <family val="2"/>
        <scheme val="minor"/>
      </rPr>
      <t>Positive</t>
    </r>
    <r>
      <rPr>
        <sz val="11"/>
        <color theme="1"/>
        <rFont val="Aptos Narrow"/>
        <family val="2"/>
        <scheme val="minor"/>
      </rPr>
      <t xml:space="preserve"> (enthusiastic, confident, grateful)
Neutral (factual, calm)
</t>
    </r>
    <r>
      <rPr>
        <b/>
        <sz val="11"/>
        <color theme="1"/>
        <rFont val="Aptos Narrow"/>
        <family val="2"/>
        <scheme val="minor"/>
      </rPr>
      <t>Negative</t>
    </r>
    <r>
      <rPr>
        <sz val="11"/>
        <color theme="1"/>
        <rFont val="Aptos Narrow"/>
        <family val="2"/>
        <scheme val="minor"/>
      </rPr>
      <t xml:space="preserve"> (disinterested, anxious, dull)
Using any open source  libraries for sentiment analysis like VADER or  spaCy</t>
    </r>
  </si>
  <si>
    <r>
      <rPr>
        <b/>
        <sz val="11"/>
        <color theme="1"/>
        <rFont val="Aptos Narrow"/>
        <family val="2"/>
        <scheme val="minor"/>
      </rPr>
      <t xml:space="preserve">Filler Word Rate </t>
    </r>
    <r>
      <rPr>
        <sz val="11"/>
        <color theme="1"/>
        <rFont val="Aptos Narrow"/>
        <family val="2"/>
        <scheme val="minor"/>
      </rPr>
      <t xml:space="preserve">
Filler words List (um, uh, like, you know, so, actually, basically, right, i mean, well, kinda, sort of, okay, hmm, ah)
Find the Filler words either using Python Libraries or using keyword search.</t>
    </r>
  </si>
  <si>
    <t>Speech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</si>
</sst>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4.9989318521683403E-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4.9989318521683403E-2"/>
      </left>
      <right style="thin">
        <color theme="0" tint="-0.34998626667073579"/>
      </right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1" tint="4.9989318521683403E-2"/>
      </left>
      <right style="thin">
        <color theme="0" tint="-0.34998626667073579"/>
      </right>
      <top style="thin">
        <color theme="0" tint="-0.34998626667073579"/>
      </top>
      <bottom style="thin">
        <color theme="1" tint="4.9989318521683403E-2"/>
      </bottom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0" tint="-0.34998626667073579"/>
      </top>
      <bottom style="thin">
        <color theme="1" tint="4.9989318521683403E-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1" tint="4.9989318521683403E-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1" tint="4.9989318521683403E-2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0" tint="-0.34998626667073579"/>
      </left>
      <right style="thin">
        <color theme="1" tint="4.9989318521683403E-2"/>
      </right>
      <top/>
      <bottom/>
      <diagonal/>
    </border>
    <border>
      <left style="thin">
        <color theme="0" tint="-0.34998626667073579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0" tint="-0.34998626667073579"/>
      </left>
      <right style="thin">
        <color theme="1" tint="4.9989318521683403E-2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8" fillId="2" borderId="0" xfId="0" applyFont="1" applyFill="1"/>
    <xf numFmtId="0" fontId="3" fillId="2" borderId="0" xfId="0" applyFont="1" applyFill="1"/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16" fontId="0" fillId="0" borderId="9" xfId="0" applyNumberFormat="1" applyBorder="1" applyAlignment="1">
      <alignment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2" fillId="0" borderId="2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86E4-1CFA-41EC-9411-0F84A0D55D92}">
  <dimension ref="B2:M74"/>
  <sheetViews>
    <sheetView showGridLines="0" tabSelected="1" zoomScale="46" zoomScaleNormal="85" workbookViewId="0">
      <selection activeCell="W9" sqref="W9"/>
    </sheetView>
  </sheetViews>
  <sheetFormatPr defaultRowHeight="14.5" x14ac:dyDescent="0.35"/>
  <cols>
    <col min="2" max="2" width="25.90625" customWidth="1"/>
    <col min="3" max="3" width="38" customWidth="1"/>
    <col min="4" max="4" width="22.453125" customWidth="1"/>
    <col min="5" max="5" width="51.1796875" customWidth="1"/>
    <col min="6" max="6" width="10.26953125" customWidth="1"/>
    <col min="8" max="8" width="13.54296875" customWidth="1"/>
  </cols>
  <sheetData>
    <row r="2" spans="2:13" ht="21" x14ac:dyDescent="0.5">
      <c r="B2" s="21" t="s">
        <v>0</v>
      </c>
      <c r="C2" s="22"/>
    </row>
    <row r="5" spans="2:13" x14ac:dyDescent="0.35">
      <c r="B5" t="s">
        <v>1</v>
      </c>
      <c r="C5" s="2" t="s">
        <v>2</v>
      </c>
    </row>
    <row r="8" spans="2:13" ht="101" customHeight="1" x14ac:dyDescent="0.35">
      <c r="B8" s="6" t="s">
        <v>70</v>
      </c>
      <c r="C8" s="65" t="s">
        <v>71</v>
      </c>
      <c r="D8" s="65"/>
      <c r="E8" s="66"/>
      <c r="F8" s="66"/>
      <c r="G8" s="66"/>
      <c r="H8" s="66"/>
      <c r="I8" s="66"/>
      <c r="J8" s="66"/>
      <c r="K8" s="66"/>
      <c r="L8" s="66"/>
      <c r="M8" s="66"/>
    </row>
    <row r="9" spans="2:13" x14ac:dyDescent="0.35">
      <c r="B9" s="4"/>
      <c r="C9" s="11" t="s">
        <v>34</v>
      </c>
      <c r="D9" s="12">
        <f>COUNTA(_xlfn.TEXTSPLIT(TRIM(C8)," "))</f>
        <v>131</v>
      </c>
      <c r="E9" s="10"/>
      <c r="F9" s="10"/>
      <c r="G9" s="10"/>
      <c r="H9" s="10"/>
      <c r="I9" s="10"/>
      <c r="J9" s="10"/>
      <c r="K9" s="10"/>
      <c r="L9" s="10"/>
      <c r="M9" s="10"/>
    </row>
    <row r="10" spans="2:13" x14ac:dyDescent="0.35">
      <c r="C10" s="15" t="s">
        <v>35</v>
      </c>
      <c r="D10" s="16">
        <f>SUM(LEN(C8)-LEN(SUBSTITUTE(C8,".",""))+LEN(C8)-LEN(SUBSTITUTE(C8,"?",""))+LEN(C8)-LEN(SUBSTITUTE(C8,"!","")))</f>
        <v>11</v>
      </c>
    </row>
    <row r="11" spans="2:13" x14ac:dyDescent="0.35">
      <c r="C11" s="13" t="s">
        <v>36</v>
      </c>
      <c r="D11" s="14">
        <v>52</v>
      </c>
    </row>
    <row r="13" spans="2:13" x14ac:dyDescent="0.35">
      <c r="B13" s="9" t="s">
        <v>18</v>
      </c>
    </row>
    <row r="14" spans="2:13" x14ac:dyDescent="0.35">
      <c r="B14" s="20" t="s">
        <v>3</v>
      </c>
      <c r="C14" s="20" t="s">
        <v>4</v>
      </c>
      <c r="D14" s="68" t="s">
        <v>5</v>
      </c>
      <c r="E14" s="69"/>
    </row>
    <row r="15" spans="2:13" x14ac:dyDescent="0.35">
      <c r="B15" s="67" t="s">
        <v>6</v>
      </c>
      <c r="C15" s="7" t="s">
        <v>7</v>
      </c>
      <c r="D15" s="8">
        <v>5</v>
      </c>
      <c r="E15" s="70">
        <f>SUM(D15:D17)</f>
        <v>40</v>
      </c>
    </row>
    <row r="16" spans="2:13" x14ac:dyDescent="0.35">
      <c r="B16" s="67"/>
      <c r="C16" s="7" t="s">
        <v>8</v>
      </c>
      <c r="D16" s="8">
        <v>30</v>
      </c>
      <c r="E16" s="70"/>
    </row>
    <row r="17" spans="2:8" x14ac:dyDescent="0.35">
      <c r="B17" s="67"/>
      <c r="C17" s="7" t="s">
        <v>9</v>
      </c>
      <c r="D17" s="8">
        <v>5</v>
      </c>
      <c r="E17" s="70"/>
    </row>
    <row r="18" spans="2:8" x14ac:dyDescent="0.35">
      <c r="B18" s="7" t="s">
        <v>81</v>
      </c>
      <c r="C18" s="7" t="s">
        <v>12</v>
      </c>
      <c r="D18" s="8">
        <v>10</v>
      </c>
      <c r="E18" s="8">
        <f>SUM(D18:D18)</f>
        <v>10</v>
      </c>
    </row>
    <row r="19" spans="2:8" x14ac:dyDescent="0.35">
      <c r="B19" s="67" t="s">
        <v>16</v>
      </c>
      <c r="C19" s="7" t="s">
        <v>14</v>
      </c>
      <c r="D19" s="8">
        <v>10</v>
      </c>
      <c r="E19" s="70">
        <f>SUM(D19:D20)</f>
        <v>20</v>
      </c>
    </row>
    <row r="20" spans="2:8" x14ac:dyDescent="0.35">
      <c r="B20" s="67"/>
      <c r="C20" s="7" t="s">
        <v>15</v>
      </c>
      <c r="D20" s="8">
        <v>10</v>
      </c>
      <c r="E20" s="70"/>
    </row>
    <row r="21" spans="2:8" x14ac:dyDescent="0.35">
      <c r="B21" s="35" t="s">
        <v>10</v>
      </c>
      <c r="C21" s="7" t="s">
        <v>11</v>
      </c>
      <c r="D21" s="8">
        <v>15</v>
      </c>
      <c r="E21" s="36">
        <f>SUM(D21:D21)</f>
        <v>15</v>
      </c>
    </row>
    <row r="22" spans="2:8" x14ac:dyDescent="0.35">
      <c r="B22" s="7" t="s">
        <v>13</v>
      </c>
      <c r="C22" s="7" t="s">
        <v>17</v>
      </c>
      <c r="D22" s="8">
        <v>15</v>
      </c>
      <c r="E22" s="8">
        <v>15</v>
      </c>
    </row>
    <row r="23" spans="2:8" x14ac:dyDescent="0.35">
      <c r="E23" s="1">
        <f>SUM(E15:E22)</f>
        <v>100</v>
      </c>
    </row>
    <row r="26" spans="2:8" ht="42" customHeight="1" x14ac:dyDescent="0.35">
      <c r="B26" s="20" t="s">
        <v>3</v>
      </c>
      <c r="C26" s="20" t="s">
        <v>4</v>
      </c>
      <c r="D26" s="20" t="s">
        <v>19</v>
      </c>
      <c r="E26" s="20" t="s">
        <v>20</v>
      </c>
      <c r="F26" s="20" t="s">
        <v>67</v>
      </c>
      <c r="G26" s="20" t="s">
        <v>27</v>
      </c>
      <c r="H26" s="20" t="s">
        <v>26</v>
      </c>
    </row>
    <row r="27" spans="2:8" x14ac:dyDescent="0.35">
      <c r="B27" s="63" t="s">
        <v>6</v>
      </c>
      <c r="C27" s="59" t="s">
        <v>74</v>
      </c>
      <c r="D27" s="18" t="s">
        <v>72</v>
      </c>
      <c r="E27" s="18" t="s">
        <v>21</v>
      </c>
      <c r="F27" s="19">
        <v>0</v>
      </c>
      <c r="G27" s="50">
        <v>5</v>
      </c>
      <c r="H27" s="50">
        <v>4</v>
      </c>
    </row>
    <row r="28" spans="2:8" x14ac:dyDescent="0.35">
      <c r="B28" s="63"/>
      <c r="C28" s="59"/>
      <c r="D28" s="18" t="s">
        <v>25</v>
      </c>
      <c r="E28" s="18" t="s">
        <v>22</v>
      </c>
      <c r="F28" s="19">
        <v>2</v>
      </c>
      <c r="G28" s="50"/>
      <c r="H28" s="50"/>
    </row>
    <row r="29" spans="2:8" ht="29" x14ac:dyDescent="0.35">
      <c r="B29" s="63"/>
      <c r="C29" s="59"/>
      <c r="D29" s="18" t="s">
        <v>24</v>
      </c>
      <c r="E29" s="18" t="s">
        <v>68</v>
      </c>
      <c r="F29" s="19">
        <v>4</v>
      </c>
      <c r="G29" s="50"/>
      <c r="H29" s="50"/>
    </row>
    <row r="30" spans="2:8" x14ac:dyDescent="0.35">
      <c r="B30" s="63"/>
      <c r="C30" s="60"/>
      <c r="D30" s="27" t="s">
        <v>23</v>
      </c>
      <c r="E30" s="27" t="s">
        <v>73</v>
      </c>
      <c r="F30" s="26">
        <v>5</v>
      </c>
      <c r="G30" s="51"/>
      <c r="H30" s="51"/>
    </row>
    <row r="31" spans="2:8" ht="72.5" x14ac:dyDescent="0.35">
      <c r="B31" s="64"/>
      <c r="C31" s="43" t="s">
        <v>75</v>
      </c>
      <c r="D31" s="29" t="s">
        <v>28</v>
      </c>
      <c r="E31" s="29" t="s">
        <v>30</v>
      </c>
      <c r="F31" s="30">
        <v>20</v>
      </c>
      <c r="G31" s="30">
        <v>20</v>
      </c>
      <c r="H31" s="31">
        <v>20</v>
      </c>
    </row>
    <row r="32" spans="2:8" ht="72.5" x14ac:dyDescent="0.35">
      <c r="B32" s="64"/>
      <c r="C32" s="45"/>
      <c r="D32" s="27" t="s">
        <v>29</v>
      </c>
      <c r="E32" s="27" t="s">
        <v>31</v>
      </c>
      <c r="F32" s="26">
        <v>10</v>
      </c>
      <c r="G32" s="26">
        <v>10</v>
      </c>
      <c r="H32" s="32">
        <f>2+0+0+2+0</f>
        <v>4</v>
      </c>
    </row>
    <row r="33" spans="2:9" ht="42" customHeight="1" x14ac:dyDescent="0.35">
      <c r="B33" s="64"/>
      <c r="C33" s="43" t="s">
        <v>9</v>
      </c>
      <c r="D33" s="29" t="s">
        <v>32</v>
      </c>
      <c r="E33" s="46" t="s">
        <v>65</v>
      </c>
      <c r="F33" s="30">
        <v>5</v>
      </c>
      <c r="G33" s="49">
        <v>5</v>
      </c>
      <c r="H33" s="55">
        <v>5</v>
      </c>
    </row>
    <row r="34" spans="2:9" ht="42" customHeight="1" x14ac:dyDescent="0.35">
      <c r="B34" s="64"/>
      <c r="C34" s="45"/>
      <c r="D34" s="27" t="s">
        <v>33</v>
      </c>
      <c r="E34" s="48"/>
      <c r="F34" s="26">
        <v>0</v>
      </c>
      <c r="G34" s="51"/>
      <c r="H34" s="57"/>
    </row>
    <row r="35" spans="2:9" x14ac:dyDescent="0.35">
      <c r="B35" s="37" t="s">
        <v>81</v>
      </c>
      <c r="C35" s="43" t="s">
        <v>76</v>
      </c>
      <c r="D35" s="29" t="s">
        <v>39</v>
      </c>
      <c r="E35" s="29" t="s">
        <v>46</v>
      </c>
      <c r="F35" s="30">
        <v>2</v>
      </c>
      <c r="G35" s="55">
        <v>10</v>
      </c>
      <c r="H35" s="58">
        <v>10</v>
      </c>
    </row>
    <row r="36" spans="2:9" x14ac:dyDescent="0.35">
      <c r="B36" s="38"/>
      <c r="C36" s="44"/>
      <c r="D36" s="18" t="s">
        <v>38</v>
      </c>
      <c r="E36" s="18" t="s">
        <v>41</v>
      </c>
      <c r="F36" s="19">
        <v>6</v>
      </c>
      <c r="G36" s="56"/>
      <c r="H36" s="58"/>
    </row>
    <row r="37" spans="2:9" x14ac:dyDescent="0.35">
      <c r="B37" s="38"/>
      <c r="C37" s="44"/>
      <c r="D37" s="18" t="s">
        <v>37</v>
      </c>
      <c r="E37" s="18" t="s">
        <v>43</v>
      </c>
      <c r="F37" s="19">
        <v>10</v>
      </c>
      <c r="G37" s="56"/>
      <c r="H37" s="58"/>
    </row>
    <row r="38" spans="2:9" x14ac:dyDescent="0.35">
      <c r="B38" s="38"/>
      <c r="C38" s="44"/>
      <c r="D38" s="18" t="s">
        <v>42</v>
      </c>
      <c r="E38" s="18" t="s">
        <v>44</v>
      </c>
      <c r="F38" s="19">
        <v>6</v>
      </c>
      <c r="G38" s="56"/>
      <c r="H38" s="58"/>
    </row>
    <row r="39" spans="2:9" x14ac:dyDescent="0.35">
      <c r="B39" s="38"/>
      <c r="C39" s="61"/>
      <c r="D39" s="23" t="s">
        <v>40</v>
      </c>
      <c r="E39" s="28" t="s">
        <v>45</v>
      </c>
      <c r="F39" s="24">
        <v>2</v>
      </c>
      <c r="G39" s="62"/>
      <c r="H39" s="58"/>
      <c r="I39" s="17"/>
    </row>
    <row r="40" spans="2:9" x14ac:dyDescent="0.35">
      <c r="B40" s="37" t="s">
        <v>16</v>
      </c>
      <c r="C40" s="43" t="s">
        <v>77</v>
      </c>
      <c r="D40" s="46" t="s">
        <v>47</v>
      </c>
      <c r="E40" s="29" t="s">
        <v>48</v>
      </c>
      <c r="F40" s="30">
        <v>10</v>
      </c>
      <c r="G40" s="49">
        <v>10</v>
      </c>
      <c r="H40" s="52">
        <v>10</v>
      </c>
    </row>
    <row r="41" spans="2:9" x14ac:dyDescent="0.35">
      <c r="B41" s="38"/>
      <c r="C41" s="44"/>
      <c r="D41" s="47"/>
      <c r="E41" s="18" t="s">
        <v>49</v>
      </c>
      <c r="F41" s="19">
        <v>8</v>
      </c>
      <c r="G41" s="50"/>
      <c r="H41" s="53"/>
    </row>
    <row r="42" spans="2:9" x14ac:dyDescent="0.35">
      <c r="B42" s="38"/>
      <c r="C42" s="44"/>
      <c r="D42" s="47"/>
      <c r="E42" s="18" t="s">
        <v>50</v>
      </c>
      <c r="F42" s="19">
        <v>6</v>
      </c>
      <c r="G42" s="50"/>
      <c r="H42" s="53"/>
    </row>
    <row r="43" spans="2:9" x14ac:dyDescent="0.35">
      <c r="B43" s="38"/>
      <c r="C43" s="44"/>
      <c r="D43" s="47"/>
      <c r="E43" s="18" t="s">
        <v>51</v>
      </c>
      <c r="F43" s="19">
        <v>4</v>
      </c>
      <c r="G43" s="50"/>
      <c r="H43" s="53"/>
    </row>
    <row r="44" spans="2:9" x14ac:dyDescent="0.35">
      <c r="B44" s="38"/>
      <c r="C44" s="45"/>
      <c r="D44" s="48"/>
      <c r="E44" s="27" t="s">
        <v>52</v>
      </c>
      <c r="F44" s="26">
        <v>2</v>
      </c>
      <c r="G44" s="51"/>
      <c r="H44" s="54"/>
    </row>
    <row r="45" spans="2:9" ht="53" customHeight="1" x14ac:dyDescent="0.35">
      <c r="B45" s="38"/>
      <c r="C45" s="43" t="s">
        <v>78</v>
      </c>
      <c r="D45" s="46" t="s">
        <v>54</v>
      </c>
      <c r="E45" s="33" t="s">
        <v>53</v>
      </c>
      <c r="F45" s="30">
        <v>10</v>
      </c>
      <c r="G45" s="49">
        <v>10</v>
      </c>
      <c r="H45" s="55">
        <v>6</v>
      </c>
    </row>
    <row r="46" spans="2:9" x14ac:dyDescent="0.35">
      <c r="B46" s="38"/>
      <c r="C46" s="44"/>
      <c r="D46" s="47"/>
      <c r="E46" s="18" t="s">
        <v>55</v>
      </c>
      <c r="F46" s="19">
        <v>8</v>
      </c>
      <c r="G46" s="50"/>
      <c r="H46" s="56"/>
    </row>
    <row r="47" spans="2:9" x14ac:dyDescent="0.35">
      <c r="B47" s="38"/>
      <c r="C47" s="44"/>
      <c r="D47" s="47"/>
      <c r="E47" s="18" t="s">
        <v>56</v>
      </c>
      <c r="F47" s="19">
        <v>6</v>
      </c>
      <c r="G47" s="50"/>
      <c r="H47" s="56"/>
    </row>
    <row r="48" spans="2:9" x14ac:dyDescent="0.35">
      <c r="B48" s="38"/>
      <c r="C48" s="44"/>
      <c r="D48" s="47"/>
      <c r="E48" s="18" t="s">
        <v>57</v>
      </c>
      <c r="F48" s="19">
        <v>4</v>
      </c>
      <c r="G48" s="50"/>
      <c r="H48" s="56"/>
    </row>
    <row r="49" spans="2:8" x14ac:dyDescent="0.35">
      <c r="B49" s="39"/>
      <c r="C49" s="45"/>
      <c r="D49" s="48"/>
      <c r="E49" s="34" t="s">
        <v>58</v>
      </c>
      <c r="F49" s="26">
        <v>2</v>
      </c>
      <c r="G49" s="51"/>
      <c r="H49" s="57"/>
    </row>
    <row r="50" spans="2:8" x14ac:dyDescent="0.35">
      <c r="B50" s="37" t="s">
        <v>10</v>
      </c>
      <c r="C50" s="43" t="s">
        <v>80</v>
      </c>
      <c r="D50" s="46" t="s">
        <v>59</v>
      </c>
      <c r="E50" s="29" t="s">
        <v>60</v>
      </c>
      <c r="F50" s="30">
        <v>15</v>
      </c>
      <c r="G50" s="49">
        <v>15</v>
      </c>
      <c r="H50" s="52">
        <v>15</v>
      </c>
    </row>
    <row r="51" spans="2:8" x14ac:dyDescent="0.35">
      <c r="B51" s="38"/>
      <c r="C51" s="44"/>
      <c r="D51" s="47"/>
      <c r="E51" s="25" t="s">
        <v>61</v>
      </c>
      <c r="F51" s="19">
        <v>12</v>
      </c>
      <c r="G51" s="50"/>
      <c r="H51" s="53"/>
    </row>
    <row r="52" spans="2:8" x14ac:dyDescent="0.35">
      <c r="B52" s="38"/>
      <c r="C52" s="44"/>
      <c r="D52" s="47"/>
      <c r="E52" s="18" t="s">
        <v>62</v>
      </c>
      <c r="F52" s="19">
        <v>9</v>
      </c>
      <c r="G52" s="50"/>
      <c r="H52" s="53"/>
    </row>
    <row r="53" spans="2:8" x14ac:dyDescent="0.35">
      <c r="B53" s="38"/>
      <c r="C53" s="44"/>
      <c r="D53" s="47"/>
      <c r="E53" s="18" t="s">
        <v>63</v>
      </c>
      <c r="F53" s="19">
        <v>6</v>
      </c>
      <c r="G53" s="50"/>
      <c r="H53" s="53"/>
    </row>
    <row r="54" spans="2:8" ht="27.5" customHeight="1" x14ac:dyDescent="0.35">
      <c r="B54" s="38"/>
      <c r="C54" s="45"/>
      <c r="D54" s="48"/>
      <c r="E54" s="27" t="s">
        <v>64</v>
      </c>
      <c r="F54" s="26">
        <v>3</v>
      </c>
      <c r="G54" s="51"/>
      <c r="H54" s="54"/>
    </row>
    <row r="55" spans="2:8" ht="84.5" customHeight="1" x14ac:dyDescent="0.35">
      <c r="B55" s="40" t="s">
        <v>13</v>
      </c>
      <c r="C55" s="43" t="s">
        <v>79</v>
      </c>
      <c r="D55" s="46" t="s">
        <v>69</v>
      </c>
      <c r="E55" s="29" t="s">
        <v>66</v>
      </c>
      <c r="F55" s="30">
        <v>15</v>
      </c>
      <c r="G55" s="49">
        <v>15</v>
      </c>
      <c r="H55" s="52">
        <v>12</v>
      </c>
    </row>
    <row r="56" spans="2:8" x14ac:dyDescent="0.35">
      <c r="B56" s="41"/>
      <c r="C56" s="44"/>
      <c r="D56" s="47"/>
      <c r="E56" s="18" t="s">
        <v>49</v>
      </c>
      <c r="F56" s="19">
        <v>12</v>
      </c>
      <c r="G56" s="50"/>
      <c r="H56" s="53"/>
    </row>
    <row r="57" spans="2:8" x14ac:dyDescent="0.35">
      <c r="B57" s="41"/>
      <c r="C57" s="44"/>
      <c r="D57" s="47"/>
      <c r="E57" s="18" t="s">
        <v>50</v>
      </c>
      <c r="F57" s="19">
        <v>9</v>
      </c>
      <c r="G57" s="50"/>
      <c r="H57" s="53"/>
    </row>
    <row r="58" spans="2:8" x14ac:dyDescent="0.35">
      <c r="B58" s="41"/>
      <c r="C58" s="44"/>
      <c r="D58" s="47"/>
      <c r="E58" s="18" t="s">
        <v>51</v>
      </c>
      <c r="F58" s="19">
        <v>6</v>
      </c>
      <c r="G58" s="50"/>
      <c r="H58" s="53"/>
    </row>
    <row r="59" spans="2:8" x14ac:dyDescent="0.35">
      <c r="B59" s="42"/>
      <c r="C59" s="45"/>
      <c r="D59" s="48"/>
      <c r="E59" s="27" t="s">
        <v>52</v>
      </c>
      <c r="F59" s="26">
        <v>3</v>
      </c>
      <c r="G59" s="51"/>
      <c r="H59" s="54"/>
    </row>
    <row r="60" spans="2:8" x14ac:dyDescent="0.35">
      <c r="B60" s="3"/>
      <c r="C60" s="3"/>
      <c r="D60" s="3"/>
      <c r="E60" s="3"/>
      <c r="F60" s="3"/>
      <c r="G60" s="3">
        <f>SUM(G27:G59)</f>
        <v>100</v>
      </c>
      <c r="H60" s="5">
        <f>SUM(H27:H59)</f>
        <v>86</v>
      </c>
    </row>
    <row r="70" spans="4:6" x14ac:dyDescent="0.35">
      <c r="D70" s="4"/>
      <c r="E70" s="4"/>
      <c r="F70" s="4"/>
    </row>
    <row r="71" spans="4:6" x14ac:dyDescent="0.35">
      <c r="D71" s="4"/>
      <c r="E71" s="4"/>
      <c r="F71" s="4"/>
    </row>
    <row r="72" spans="4:6" x14ac:dyDescent="0.35">
      <c r="D72" s="4"/>
      <c r="E72" s="4"/>
      <c r="F72" s="4"/>
    </row>
    <row r="73" spans="4:6" x14ac:dyDescent="0.35">
      <c r="D73" s="4"/>
      <c r="E73" s="4"/>
      <c r="F73" s="4"/>
    </row>
    <row r="74" spans="4:6" x14ac:dyDescent="0.35">
      <c r="D74" s="4"/>
      <c r="E74" s="4"/>
      <c r="F74" s="4"/>
    </row>
  </sheetData>
  <mergeCells count="38">
    <mergeCell ref="B27:B34"/>
    <mergeCell ref="C31:C32"/>
    <mergeCell ref="E33:E34"/>
    <mergeCell ref="C8:M8"/>
    <mergeCell ref="B15:B17"/>
    <mergeCell ref="D14:E14"/>
    <mergeCell ref="B19:B20"/>
    <mergeCell ref="E15:E17"/>
    <mergeCell ref="E19:E20"/>
    <mergeCell ref="H35:H39"/>
    <mergeCell ref="C27:C30"/>
    <mergeCell ref="G27:G30"/>
    <mergeCell ref="H27:H30"/>
    <mergeCell ref="C33:C34"/>
    <mergeCell ref="G33:G34"/>
    <mergeCell ref="H33:H34"/>
    <mergeCell ref="C35:C39"/>
    <mergeCell ref="G35:G39"/>
    <mergeCell ref="H55:H59"/>
    <mergeCell ref="G50:G54"/>
    <mergeCell ref="G55:G59"/>
    <mergeCell ref="D55:D59"/>
    <mergeCell ref="H40:H44"/>
    <mergeCell ref="H50:H54"/>
    <mergeCell ref="D40:D44"/>
    <mergeCell ref="G40:G44"/>
    <mergeCell ref="H45:H49"/>
    <mergeCell ref="D45:D49"/>
    <mergeCell ref="C45:C49"/>
    <mergeCell ref="G45:G49"/>
    <mergeCell ref="D50:D54"/>
    <mergeCell ref="C50:C54"/>
    <mergeCell ref="B35:B39"/>
    <mergeCell ref="B40:B49"/>
    <mergeCell ref="B50:B54"/>
    <mergeCell ref="B55:B59"/>
    <mergeCell ref="C40:C44"/>
    <mergeCell ref="C55:C59"/>
  </mergeCells>
  <pageMargins left="0.7" right="0.7" top="0.75" bottom="0.75" header="0.3" footer="0.3"/>
  <ignoredErrors>
    <ignoredError sqref="E18 E19:E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Babu</dc:creator>
  <cp:lastModifiedBy>Jayanth Babu</cp:lastModifiedBy>
  <dcterms:created xsi:type="dcterms:W3CDTF">2025-10-16T17:52:16Z</dcterms:created>
  <dcterms:modified xsi:type="dcterms:W3CDTF">2025-11-22T06:59:03Z</dcterms:modified>
</cp:coreProperties>
</file>